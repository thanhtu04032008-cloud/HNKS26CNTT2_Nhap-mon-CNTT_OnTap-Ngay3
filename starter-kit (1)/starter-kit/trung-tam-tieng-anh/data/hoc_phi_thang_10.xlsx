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52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<sst xmlns="http://schemas.openxmlformats.org/spreadsheetml/2006/main" count="72" uniqueCount="53">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</sst>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2" sqref="G22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s="1" t="str">
        <f>VLOOKUP(C2,KhoaHoc!$A$2:$C$8,2,FALSE)</f>
        <v>Tieng Anh thieu nhi</v>
      </c>
      <c r="F2" s="1">
        <f>VLOOKUP(C2,KhoaHoc!$A$2:$C$8,3,FALSE)</f>
        <v>900000</v>
      </c>
      <c r="G2" s="1">
        <f t="shared" ref="G2:G16" si="0"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s="1" t="str">
        <f>VLOOKUP(C3,KhoaHoc!$A$2:$C$8,2,FALSE)</f>
        <v>IELTS 6.5</v>
      </c>
      <c r="F3" s="1">
        <f>VLOOKUP(C3,KhoaHoc!$A$2:$C$8,3,FALSE)</f>
        <v>2500000</v>
      </c>
      <c r="G3" s="1">
        <f t="shared" si="0"/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s="1" t="str">
        <f>VLOOKUP(C4,KhoaHoc!$A$2:$C$8,2,FALSE)</f>
        <v>Luyen phong van</v>
      </c>
      <c r="F4" s="1">
        <f>VLOOKUP(C4,KhoaHoc!$A$2:$C$8,3,FALSE)</f>
        <v>3000000</v>
      </c>
      <c r="G4" s="1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s="1" t="str">
        <f>VLOOKUP(C5,KhoaHoc!$A$2:$C$8,2,FALSE)</f>
        <v>Giao tiep nang cao</v>
      </c>
      <c r="F5" s="1">
        <f>VLOOKUP(C5,KhoaHoc!$A$2:$C$8,3,FALSE)</f>
        <v>1500000</v>
      </c>
      <c r="G5" s="1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s="1" t="str">
        <f>VLOOKUP(C6,KhoaHoc!$A$2:$C$8,2,FALSE)</f>
        <v>Giao tiep nang cao</v>
      </c>
      <c r="F6" s="1">
        <f>VLOOKUP(C6,KhoaHoc!$A$2:$C$8,3,FALSE)</f>
        <v>1500000</v>
      </c>
      <c r="G6" s="1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s="1" t="str">
        <f>VLOOKUP(C7,KhoaHoc!$A$2:$C$8,2,FALSE)</f>
        <v>IELTS 5.0</v>
      </c>
      <c r="F7" s="1">
        <f>VLOOKUP(C7,KhoaHoc!$A$2:$C$8,3,FALSE)</f>
        <v>2000000</v>
      </c>
      <c r="G7" s="1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s="1" t="str">
        <f>VLOOKUP(C8,KhoaHoc!$A$2:$C$8,2,FALSE)</f>
        <v>TOEIC 550</v>
      </c>
      <c r="F8" s="1">
        <f>VLOOKUP(C8,KhoaHoc!$A$2:$C$8,3,FALSE)</f>
        <v>1800000</v>
      </c>
      <c r="G8" s="1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s="1" t="str">
        <f>VLOOKUP(C9,KhoaHoc!$A$2:$C$8,2,FALSE)</f>
        <v>Luyen phong van</v>
      </c>
      <c r="F9" s="1">
        <f>VLOOKUP(C9,KhoaHoc!$A$2:$C$8,3,FALSE)</f>
        <v>3000000</v>
      </c>
      <c r="G9" s="1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s="1" t="str">
        <f>VLOOKUP(C10,KhoaHoc!$A$2:$C$8,2,FALSE)</f>
        <v>IELTS 6.5</v>
      </c>
      <c r="F10" s="1">
        <f>VLOOKUP(C10,KhoaHoc!$A$2:$C$8,3,FALSE)</f>
        <v>2500000</v>
      </c>
      <c r="G10" s="1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s="1" t="str">
        <f>VLOOKUP(C11,KhoaHoc!$A$2:$C$8,2,FALSE)</f>
        <v>IELTS 6.5</v>
      </c>
      <c r="F11" s="1">
        <f>VLOOKUP(C11,KhoaHoc!$A$2:$C$8,3,FALSE)</f>
        <v>2500000</v>
      </c>
      <c r="G11" s="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s="1" t="str">
        <f>VLOOKUP(C12,KhoaHoc!$A$2:$C$8,2,FALSE)</f>
        <v>Tieng Anh thieu nhi</v>
      </c>
      <c r="F12" s="1">
        <f>VLOOKUP(C12,KhoaHoc!$A$2:$C$8,3,FALSE)</f>
        <v>900000</v>
      </c>
      <c r="G12" s="1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s="1" t="str">
        <f>VLOOKUP(C13,KhoaHoc!$A$2:$C$8,2,FALSE)</f>
        <v>Giao tiep co ban</v>
      </c>
      <c r="F13" s="1">
        <f>VLOOKUP(C13,KhoaHoc!$A$2:$C$8,3,FALSE)</f>
        <v>1200000</v>
      </c>
      <c r="G13" s="1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s="1" t="str">
        <f>VLOOKUP(C14,KhoaHoc!$A$2:$C$8,2,FALSE)</f>
        <v>TOEIC 550</v>
      </c>
      <c r="F14" s="1">
        <f>VLOOKUP(C14,KhoaHoc!$A$2:$C$8,3,FALSE)</f>
        <v>1800000</v>
      </c>
      <c r="G14" s="1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s="1" t="str">
        <f>VLOOKUP(C15,KhoaHoc!$A$2:$C$8,2,FALSE)</f>
        <v>IELTS 6.5</v>
      </c>
      <c r="F15" s="1">
        <f>VLOOKUP(C15,KhoaHoc!$A$2:$C$8,3,FALSE)</f>
        <v>2500000</v>
      </c>
      <c r="G15" s="1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s="1" t="str">
        <f>VLOOKUP(C16,KhoaHoc!$A$2:$C$8,2,FALSE)</f>
        <v>IELTS 6.5</v>
      </c>
      <c r="F16" s="1">
        <f>VLOOKUP(C16,KhoaHoc!$A$2:$C$8,3,FALSE)</f>
        <v>2500000</v>
      </c>
      <c r="G16" s="1">
        <f t="shared" si="0"/>
        <v>10000000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3" sqref="E3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VLOOKUP(E2,A2:C8,3,FALSE)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2026-10-19T10:04:00Z</dcterms:created>
  <dcterms:modified xsi:type="dcterms:W3CDTF">2026-10-22T16:46:51Z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8979B4C60785467D89EE107CA504C1C8_12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